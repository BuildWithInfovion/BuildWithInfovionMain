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rigar 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3"/>
    </font>
    <font>
      <b val="1"/>
    </font>
    <font/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2" borderId="1" pivotButton="0" quotePrefix="0" xfId="0"/>
    <xf numFmtId="164" fontId="0" fillId="0" borderId="1" pivotButton="0" quotePrefix="0" xfId="0"/>
    <xf numFmtId="164" fontId="0" fillId="0" borderId="0" pivotButton="0" quotePrefix="0" xfId="0"/>
    <xf numFmtId="0" fontId="4" fillId="0" borderId="0" pivotButton="0" quotePrefix="0" xfId="0"/>
    <xf numFmtId="164" fontId="3" fillId="0" borderId="1" pivotButton="0" quotePrefix="0" xfId="0"/>
    <xf numFmtId="4" fontId="0" fillId="0" borderId="1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12" customWidth="1" min="4" max="4"/>
    <col width="9" customWidth="1" min="5" max="5"/>
    <col width="10" customWidth="1" min="6" max="6"/>
    <col width="13" customWidth="1" min="7" max="7"/>
  </cols>
  <sheetData>
    <row r="1">
      <c r="A1" s="1" t="inlineStr">
        <is>
          <t>YOUR SHOP NAME</t>
        </is>
      </c>
    </row>
    <row r="2">
      <c r="A2" s="2" t="inlineStr">
        <is>
          <t>Address · Phone</t>
        </is>
      </c>
    </row>
    <row r="3">
      <c r="A3" s="2" t="inlineStr">
        <is>
          <t xml:space="preserve">GSTIN: </t>
        </is>
      </c>
    </row>
    <row r="5">
      <c r="A5" s="3" t="inlineStr">
        <is>
          <t>KARIGAR ISSUE AND RECEIPT SLIP</t>
        </is>
      </c>
    </row>
    <row r="7">
      <c r="A7" s="4" t="inlineStr">
        <is>
          <t>Karigar</t>
        </is>
      </c>
      <c r="B7" s="5" t="n"/>
      <c r="E7" s="4" t="inlineStr">
        <is>
          <t>Slip no.</t>
        </is>
      </c>
      <c r="F7" s="5" t="n"/>
    </row>
    <row r="8">
      <c r="A8" s="4" t="inlineStr">
        <is>
          <t>Mobile</t>
        </is>
      </c>
      <c r="B8" s="5" t="n"/>
      <c r="E8" s="4" t="inlineStr">
        <is>
          <t>Date</t>
        </is>
      </c>
      <c r="F8" s="5" t="n"/>
    </row>
    <row r="9">
      <c r="A9" s="4" t="inlineStr">
        <is>
          <t>Order / design</t>
        </is>
      </c>
      <c r="B9" s="5" t="n"/>
      <c r="E9" s="4" t="inlineStr">
        <is>
          <t>Due date</t>
        </is>
      </c>
      <c r="F9" s="5" t="n"/>
    </row>
    <row r="10">
      <c r="A10" s="4" t="inlineStr">
        <is>
          <t>Work to be made</t>
        </is>
      </c>
      <c r="B10" s="5" t="n"/>
      <c r="E10" s="4" t="inlineStr">
        <is>
          <t>Labour / g (₹)</t>
        </is>
      </c>
      <c r="F10" s="5" t="n"/>
    </row>
    <row r="12">
      <c r="A12" s="4" t="inlineStr">
        <is>
          <t>Metal issued</t>
        </is>
      </c>
    </row>
    <row r="13" ht="30" customHeight="1">
      <c r="A13" s="6" t="inlineStr">
        <is>
          <t>Sr.</t>
        </is>
      </c>
      <c r="B13" s="6" t="inlineStr">
        <is>
          <t>Description</t>
        </is>
      </c>
      <c r="C13" s="6" t="inlineStr"/>
      <c r="D13" s="6" t="inlineStr">
        <is>
          <t>Weight (g)</t>
        </is>
      </c>
      <c r="E13" s="6" t="inlineStr">
        <is>
          <t>Touch %</t>
        </is>
      </c>
      <c r="F13" s="6" t="inlineStr"/>
      <c r="G13" s="6" t="inlineStr">
        <is>
          <t>Fine wt (g)</t>
        </is>
      </c>
    </row>
    <row r="14">
      <c r="A14" s="7" t="n">
        <v>1</v>
      </c>
      <c r="B14" s="5" t="n"/>
      <c r="C14" s="7" t="n"/>
      <c r="D14" s="8" t="n"/>
      <c r="E14" s="5" t="n"/>
      <c r="F14" s="7" t="n"/>
      <c r="G14" s="9">
        <f>IF(D14="","",ROUND(D14*E14/100,3))</f>
        <v/>
      </c>
    </row>
    <row r="15">
      <c r="A15" s="7" t="n">
        <v>2</v>
      </c>
      <c r="B15" s="5" t="n"/>
      <c r="C15" s="7" t="n"/>
      <c r="D15" s="8" t="n"/>
      <c r="E15" s="5" t="n"/>
      <c r="F15" s="7" t="n"/>
      <c r="G15" s="9">
        <f>IF(D15="","",ROUND(D15*E15/100,3))</f>
        <v/>
      </c>
    </row>
    <row r="16">
      <c r="A16" s="7" t="n">
        <v>3</v>
      </c>
      <c r="B16" s="5" t="n"/>
      <c r="C16" s="7" t="n"/>
      <c r="D16" s="8" t="n"/>
      <c r="E16" s="5" t="n"/>
      <c r="F16" s="7" t="n"/>
      <c r="G16" s="9">
        <f>IF(D16="","",ROUND(D16*E16/100,3))</f>
        <v/>
      </c>
    </row>
    <row r="17">
      <c r="A17" s="7" t="n">
        <v>4</v>
      </c>
      <c r="B17" s="5" t="n"/>
      <c r="C17" s="7" t="n"/>
      <c r="D17" s="8" t="n"/>
      <c r="E17" s="5" t="n"/>
      <c r="F17" s="7" t="n"/>
      <c r="G17" s="9">
        <f>IF(D17="","",ROUND(D17*E17/100,3))</f>
        <v/>
      </c>
    </row>
    <row r="18">
      <c r="A18" s="7" t="n">
        <v>5</v>
      </c>
      <c r="B18" s="5" t="n"/>
      <c r="C18" s="7" t="n"/>
      <c r="D18" s="8" t="n"/>
      <c r="E18" s="5" t="n"/>
      <c r="F18" s="7" t="n"/>
      <c r="G18" s="9">
        <f>IF(D18="","",ROUND(D18*E18/100,3))</f>
        <v/>
      </c>
    </row>
    <row r="19">
      <c r="F19" t="inlineStr">
        <is>
          <t>Fine issued</t>
        </is>
      </c>
      <c r="G19" s="10">
        <f>SUM(G14:G18)</f>
        <v/>
      </c>
    </row>
    <row r="21">
      <c r="A21" s="4" t="inlineStr">
        <is>
          <t>Work received</t>
        </is>
      </c>
    </row>
    <row r="22" ht="30" customHeight="1">
      <c r="A22" s="6" t="inlineStr">
        <is>
          <t>Sr.</t>
        </is>
      </c>
      <c r="B22" s="6" t="inlineStr">
        <is>
          <t>Description</t>
        </is>
      </c>
      <c r="C22" s="6" t="inlineStr">
        <is>
          <t>Pcs</t>
        </is>
      </c>
      <c r="D22" s="6" t="inlineStr">
        <is>
          <t>Weight (g)</t>
        </is>
      </c>
      <c r="E22" s="6" t="inlineStr">
        <is>
          <t>Touch %</t>
        </is>
      </c>
      <c r="F22" s="6" t="inlineStr">
        <is>
          <t>Wastage %</t>
        </is>
      </c>
      <c r="G22" s="6" t="inlineStr">
        <is>
          <t>Fine credited (g)</t>
        </is>
      </c>
    </row>
    <row r="23">
      <c r="A23" s="7" t="n">
        <v>1</v>
      </c>
      <c r="B23" s="5" t="n"/>
      <c r="C23" s="5" t="n"/>
      <c r="D23" s="8" t="n"/>
      <c r="E23" s="5" t="n"/>
      <c r="F23" s="5" t="n"/>
      <c r="G23" s="9">
        <f>IF(D23="","",ROUND(D23*E23/100*(1+N(F23)/100),3))</f>
        <v/>
      </c>
    </row>
    <row r="24">
      <c r="A24" s="7" t="n">
        <v>2</v>
      </c>
      <c r="B24" s="5" t="n"/>
      <c r="C24" s="5" t="n"/>
      <c r="D24" s="8" t="n"/>
      <c r="E24" s="5" t="n"/>
      <c r="F24" s="5" t="n"/>
      <c r="G24" s="9">
        <f>IF(D24="","",ROUND(D24*E24/100*(1+N(F24)/100),3))</f>
        <v/>
      </c>
    </row>
    <row r="25">
      <c r="A25" s="7" t="n">
        <v>3</v>
      </c>
      <c r="B25" s="5" t="n"/>
      <c r="C25" s="5" t="n"/>
      <c r="D25" s="8" t="n"/>
      <c r="E25" s="5" t="n"/>
      <c r="F25" s="5" t="n"/>
      <c r="G25" s="9">
        <f>IF(D25="","",ROUND(D25*E25/100*(1+N(F25)/100),3))</f>
        <v/>
      </c>
    </row>
    <row r="26">
      <c r="A26" s="7" t="n">
        <v>4</v>
      </c>
      <c r="B26" s="5" t="n"/>
      <c r="C26" s="5" t="n"/>
      <c r="D26" s="8" t="n"/>
      <c r="E26" s="5" t="n"/>
      <c r="F26" s="5" t="n"/>
      <c r="G26" s="9">
        <f>IF(D26="","",ROUND(D26*E26/100*(1+N(F26)/100),3))</f>
        <v/>
      </c>
    </row>
    <row r="27">
      <c r="A27" s="7" t="n">
        <v>5</v>
      </c>
      <c r="B27" s="5" t="n"/>
      <c r="C27" s="5" t="n"/>
      <c r="D27" s="8" t="n"/>
      <c r="E27" s="5" t="n"/>
      <c r="F27" s="5" t="n"/>
      <c r="G27" s="9">
        <f>IF(D27="","",ROUND(D27*E27/100*(1+N(F27)/100),3))</f>
        <v/>
      </c>
    </row>
    <row r="29">
      <c r="F29" s="11" t="inlineStr">
        <is>
          <t>Fine issued (g)</t>
        </is>
      </c>
      <c r="G29" s="9">
        <f>G19</f>
        <v/>
      </c>
    </row>
    <row r="30">
      <c r="F30" s="11" t="inlineStr">
        <is>
          <t>Fine credited (g)</t>
        </is>
      </c>
      <c r="G30" s="9">
        <f>SUM(G23:G27)</f>
        <v/>
      </c>
    </row>
    <row r="31">
      <c r="F31" s="4" t="inlineStr">
        <is>
          <t>Fine balance with karigar (g)</t>
        </is>
      </c>
      <c r="G31" s="12">
        <f>G29-G30</f>
        <v/>
      </c>
    </row>
    <row r="32">
      <c r="F32" s="11" t="inlineStr">
        <is>
          <t>Labour payable (₹)</t>
        </is>
      </c>
      <c r="G32" s="13">
        <f>ROUND(SUM(D23:D27)*N(F10),2)</f>
        <v/>
      </c>
    </row>
    <row r="34" ht="26" customHeight="1">
      <c r="A34" s="14" t="inlineStr">
        <is>
          <t>Fine credited = weight × touch ÷ 100, plus the agreed wastage as a % of it.</t>
        </is>
      </c>
    </row>
    <row r="37">
      <c r="A37" t="inlineStr">
        <is>
          <t>______________________</t>
        </is>
      </c>
      <c r="E37" t="inlineStr">
        <is>
          <t>______________________</t>
        </is>
      </c>
    </row>
    <row r="38">
      <c r="A38" t="inlineStr">
        <is>
          <t>Karigar's signature</t>
        </is>
      </c>
      <c r="E38" t="inlineStr">
        <is>
          <t>Authorised signatory</t>
        </is>
      </c>
    </row>
    <row r="40" ht="26" customHeight="1">
      <c r="A40" s="14" t="inlineStr">
        <is>
          <t>Free format from www.infovion.in/jewellery-bill-formats. Yellow cells: type here. White cells calculate. Confirm tax rates with your accountant.</t>
        </is>
      </c>
    </row>
  </sheetData>
  <mergeCells count="6">
    <mergeCell ref="A1:G1"/>
    <mergeCell ref="A40:G40"/>
    <mergeCell ref="A3:G3"/>
    <mergeCell ref="A34:G34"/>
    <mergeCell ref="A2:G2"/>
    <mergeCell ref="A5:G5"/>
  </mergeCells>
  <pageMargins left="0.4" right="0.4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Infovion Technologies</dc:creator>
  <dc:title xmlns:dc="http://purl.org/dc/elements/1.1/">Karigar issue slip format</dc:title>
  <dcterms:created xmlns:dcterms="http://purl.org/dc/terms/" xmlns:xsi="http://www.w3.org/2001/XMLSchema-instance" xsi:type="dcterms:W3CDTF">2026-10-27T15:57:44Z</dcterms:created>
  <dcterms:modified xmlns:dcterms="http://purl.org/dc/terms/" xmlns:xsi="http://www.w3.org/2001/XMLSchema-instance" xsi:type="dcterms:W3CDTF">2026-10-27T15:57:44Z</dcterms:modified>
</cp:coreProperties>
</file>