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/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4" fontId="0" fillId="2" borderId="1" pivotButton="0" quotePrefix="0" xfId="0"/>
    <xf numFmtId="4" fontId="0" fillId="0" borderId="1" pivotButton="0" quotePrefix="0" xfId="0"/>
    <xf numFmtId="0" fontId="0" fillId="2" borderId="0" pivotButton="0" quotePrefix="0" xfId="0"/>
    <xf numFmtId="0" fontId="4" fillId="0" borderId="0" pivotButton="0" quotePrefix="0" xfId="0"/>
    <xf numFmtId="4" fontId="3" fillId="0" borderId="1" pivotButton="0" quotePrefix="0" xfId="0"/>
    <xf numFmtId="3" fontId="3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9" customWidth="1" min="4" max="4"/>
    <col width="8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3" customWidth="1" min="13" max="13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GSTIN: </t>
        </is>
      </c>
    </row>
    <row r="5">
      <c r="A5" s="3" t="inlineStr">
        <is>
          <t>TAX INVOICE</t>
        </is>
      </c>
    </row>
    <row r="7">
      <c r="A7" s="4" t="inlineStr">
        <is>
          <t>Customer</t>
        </is>
      </c>
      <c r="B7" s="5" t="n"/>
      <c r="H7" s="4" t="inlineStr">
        <is>
          <t>Invoice no.</t>
        </is>
      </c>
      <c r="I7" s="5" t="n"/>
    </row>
    <row r="8">
      <c r="A8" s="4" t="inlineStr">
        <is>
          <t>Address</t>
        </is>
      </c>
      <c r="B8" s="5" t="n"/>
      <c r="H8" s="4" t="inlineStr">
        <is>
          <t>Date</t>
        </is>
      </c>
      <c r="I8" s="5" t="n"/>
    </row>
    <row r="9">
      <c r="A9" s="4" t="inlineStr">
        <is>
          <t>Mobile</t>
        </is>
      </c>
      <c r="B9" s="5" t="n"/>
      <c r="H9" s="4" t="inlineStr">
        <is>
          <t>Place of supply</t>
        </is>
      </c>
      <c r="I9" s="5" t="n"/>
    </row>
    <row r="10">
      <c r="A10" s="4" t="inlineStr">
        <is>
          <t>GSTIN</t>
        </is>
      </c>
      <c r="B10" s="5" t="n"/>
      <c r="H10" s="4" t="inlineStr">
        <is>
          <t>Inter-state (Y/N)</t>
        </is>
      </c>
      <c r="I10" s="5" t="inlineStr">
        <is>
          <t>N</t>
        </is>
      </c>
    </row>
    <row r="11">
      <c r="A11" s="4" t="inlineStr">
        <is>
          <t>PAN</t>
        </is>
      </c>
      <c r="B11" s="5" t="n"/>
      <c r="H11" s="4" t="inlineStr">
        <is>
          <t>Payment</t>
        </is>
      </c>
      <c r="I11" s="5" t="n"/>
    </row>
    <row r="12" ht="30" customHeight="1">
      <c r="A12" s="6" t="inlineStr">
        <is>
          <t>Sr.</t>
        </is>
      </c>
      <c r="B12" s="6" t="inlineStr">
        <is>
          <t>Description</t>
        </is>
      </c>
      <c r="C12" s="6" t="inlineStr">
        <is>
          <t>HSN</t>
        </is>
      </c>
      <c r="D12" s="6" t="inlineStr">
        <is>
          <t>HUID</t>
        </is>
      </c>
      <c r="E12" s="6" t="inlineStr">
        <is>
          <t>Purity</t>
        </is>
      </c>
      <c r="F12" s="6" t="inlineStr">
        <is>
          <t>Gross wt (g)</t>
        </is>
      </c>
      <c r="G12" s="6" t="inlineStr">
        <is>
          <t>Net wt (g)</t>
        </is>
      </c>
      <c r="H12" s="6" t="inlineStr">
        <is>
          <t>Rate / g (₹)</t>
        </is>
      </c>
      <c r="I12" s="6" t="inlineStr">
        <is>
          <t>Making / g (₹)</t>
        </is>
      </c>
      <c r="J12" s="6" t="inlineStr">
        <is>
          <t>Stone / other (₹)</t>
        </is>
      </c>
      <c r="K12" s="6" t="inlineStr">
        <is>
          <t>Metal value</t>
        </is>
      </c>
      <c r="L12" s="6" t="inlineStr">
        <is>
          <t>Making</t>
        </is>
      </c>
      <c r="M12" s="6" t="inlineStr">
        <is>
          <t>Amount (₹)</t>
        </is>
      </c>
    </row>
    <row r="13">
      <c r="A13" s="7" t="n">
        <v>1</v>
      </c>
      <c r="B13" s="5" t="n"/>
      <c r="C13" s="5" t="inlineStr">
        <is>
          <t>7113</t>
        </is>
      </c>
      <c r="D13" s="5" t="n"/>
      <c r="E13" s="5" t="n"/>
      <c r="F13" s="8" t="n"/>
      <c r="G13" s="8" t="n"/>
      <c r="H13" s="9" t="n"/>
      <c r="I13" s="9" t="n"/>
      <c r="J13" s="9" t="n"/>
      <c r="K13" s="10">
        <f>IF(G13="","",ROUND(G13*H13,2))</f>
        <v/>
      </c>
      <c r="L13" s="10">
        <f>IF(G13="","",ROUND(G13*I13,2))</f>
        <v/>
      </c>
      <c r="M13" s="10">
        <f>IF(G13="","",K13+L13+N(J13))</f>
        <v/>
      </c>
    </row>
    <row r="14">
      <c r="A14" s="7" t="n">
        <v>2</v>
      </c>
      <c r="B14" s="5" t="n"/>
      <c r="C14" s="5" t="n"/>
      <c r="D14" s="5" t="n"/>
      <c r="E14" s="5" t="n"/>
      <c r="F14" s="8" t="n"/>
      <c r="G14" s="8" t="n"/>
      <c r="H14" s="9" t="n"/>
      <c r="I14" s="9" t="n"/>
      <c r="J14" s="9" t="n"/>
      <c r="K14" s="10">
        <f>IF(G14="","",ROUND(G14*H14,2))</f>
        <v/>
      </c>
      <c r="L14" s="10">
        <f>IF(G14="","",ROUND(G14*I14,2))</f>
        <v/>
      </c>
      <c r="M14" s="10">
        <f>IF(G14="","",K14+L14+N(J14))</f>
        <v/>
      </c>
    </row>
    <row r="15">
      <c r="A15" s="7" t="n">
        <v>3</v>
      </c>
      <c r="B15" s="5" t="n"/>
      <c r="C15" s="5" t="n"/>
      <c r="D15" s="5" t="n"/>
      <c r="E15" s="5" t="n"/>
      <c r="F15" s="8" t="n"/>
      <c r="G15" s="8" t="n"/>
      <c r="H15" s="9" t="n"/>
      <c r="I15" s="9" t="n"/>
      <c r="J15" s="9" t="n"/>
      <c r="K15" s="10">
        <f>IF(G15="","",ROUND(G15*H15,2))</f>
        <v/>
      </c>
      <c r="L15" s="10">
        <f>IF(G15="","",ROUND(G15*I15,2))</f>
        <v/>
      </c>
      <c r="M15" s="10">
        <f>IF(G15="","",K15+L15+N(J15))</f>
        <v/>
      </c>
    </row>
    <row r="16">
      <c r="A16" s="7" t="n">
        <v>4</v>
      </c>
      <c r="B16" s="5" t="n"/>
      <c r="C16" s="5" t="n"/>
      <c r="D16" s="5" t="n"/>
      <c r="E16" s="5" t="n"/>
      <c r="F16" s="8" t="n"/>
      <c r="G16" s="8" t="n"/>
      <c r="H16" s="9" t="n"/>
      <c r="I16" s="9" t="n"/>
      <c r="J16" s="9" t="n"/>
      <c r="K16" s="10">
        <f>IF(G16="","",ROUND(G16*H16,2))</f>
        <v/>
      </c>
      <c r="L16" s="10">
        <f>IF(G16="","",ROUND(G16*I16,2))</f>
        <v/>
      </c>
      <c r="M16" s="10">
        <f>IF(G16="","",K16+L16+N(J16))</f>
        <v/>
      </c>
    </row>
    <row r="17">
      <c r="A17" s="7" t="n">
        <v>5</v>
      </c>
      <c r="B17" s="5" t="n"/>
      <c r="C17" s="5" t="n"/>
      <c r="D17" s="5" t="n"/>
      <c r="E17" s="5" t="n"/>
      <c r="F17" s="8" t="n"/>
      <c r="G17" s="8" t="n"/>
      <c r="H17" s="9" t="n"/>
      <c r="I17" s="9" t="n"/>
      <c r="J17" s="9" t="n"/>
      <c r="K17" s="10">
        <f>IF(G17="","",ROUND(G17*H17,2))</f>
        <v/>
      </c>
      <c r="L17" s="10">
        <f>IF(G17="","",ROUND(G17*I17,2))</f>
        <v/>
      </c>
      <c r="M17" s="10">
        <f>IF(G17="","",K17+L17+N(J17))</f>
        <v/>
      </c>
    </row>
    <row r="18">
      <c r="A18" s="7" t="n">
        <v>6</v>
      </c>
      <c r="B18" s="5" t="n"/>
      <c r="C18" s="5" t="n"/>
      <c r="D18" s="5" t="n"/>
      <c r="E18" s="5" t="n"/>
      <c r="F18" s="8" t="n"/>
      <c r="G18" s="8" t="n"/>
      <c r="H18" s="9" t="n"/>
      <c r="I18" s="9" t="n"/>
      <c r="J18" s="9" t="n"/>
      <c r="K18" s="10">
        <f>IF(G18="","",ROUND(G18*H18,2))</f>
        <v/>
      </c>
      <c r="L18" s="10">
        <f>IF(G18="","",ROUND(G18*I18,2))</f>
        <v/>
      </c>
      <c r="M18" s="10">
        <f>IF(G18="","",K18+L18+N(J18))</f>
        <v/>
      </c>
    </row>
    <row r="19">
      <c r="A19" s="7" t="n">
        <v>7</v>
      </c>
      <c r="B19" s="5" t="n"/>
      <c r="C19" s="5" t="n"/>
      <c r="D19" s="5" t="n"/>
      <c r="E19" s="5" t="n"/>
      <c r="F19" s="8" t="n"/>
      <c r="G19" s="8" t="n"/>
      <c r="H19" s="9" t="n"/>
      <c r="I19" s="9" t="n"/>
      <c r="J19" s="9" t="n"/>
      <c r="K19" s="10">
        <f>IF(G19="","",ROUND(G19*H19,2))</f>
        <v/>
      </c>
      <c r="L19" s="10">
        <f>IF(G19="","",ROUND(G19*I19,2))</f>
        <v/>
      </c>
      <c r="M19" s="10">
        <f>IF(G19="","",K19+L19+N(J19))</f>
        <v/>
      </c>
    </row>
    <row r="20">
      <c r="A20" s="7" t="n">
        <v>8</v>
      </c>
      <c r="B20" s="5" t="n"/>
      <c r="C20" s="5" t="n"/>
      <c r="D20" s="5" t="n"/>
      <c r="E20" s="5" t="n"/>
      <c r="F20" s="8" t="n"/>
      <c r="G20" s="8" t="n"/>
      <c r="H20" s="9" t="n"/>
      <c r="I20" s="9" t="n"/>
      <c r="J20" s="9" t="n"/>
      <c r="K20" s="10">
        <f>IF(G20="","",ROUND(G20*H20,2))</f>
        <v/>
      </c>
      <c r="L20" s="10">
        <f>IF(G20="","",ROUND(G20*I20,2))</f>
        <v/>
      </c>
      <c r="M20" s="10">
        <f>IF(G20="","",K20+L20+N(J20))</f>
        <v/>
      </c>
    </row>
    <row r="21">
      <c r="A21" s="7" t="n">
        <v>9</v>
      </c>
      <c r="B21" s="5" t="n"/>
      <c r="C21" s="5" t="n"/>
      <c r="D21" s="5" t="n"/>
      <c r="E21" s="5" t="n"/>
      <c r="F21" s="8" t="n"/>
      <c r="G21" s="8" t="n"/>
      <c r="H21" s="9" t="n"/>
      <c r="I21" s="9" t="n"/>
      <c r="J21" s="9" t="n"/>
      <c r="K21" s="10">
        <f>IF(G21="","",ROUND(G21*H21,2))</f>
        <v/>
      </c>
      <c r="L21" s="10">
        <f>IF(G21="","",ROUND(G21*I21,2))</f>
        <v/>
      </c>
      <c r="M21" s="10">
        <f>IF(G21="","",K21+L21+N(J21))</f>
        <v/>
      </c>
    </row>
    <row r="22">
      <c r="A22" s="7" t="n">
        <v>10</v>
      </c>
      <c r="B22" s="5" t="n"/>
      <c r="C22" s="5" t="n"/>
      <c r="D22" s="5" t="n"/>
      <c r="E22" s="5" t="n"/>
      <c r="F22" s="8" t="n"/>
      <c r="G22" s="8" t="n"/>
      <c r="H22" s="9" t="n"/>
      <c r="I22" s="9" t="n"/>
      <c r="J22" s="9" t="n"/>
      <c r="K22" s="10">
        <f>IF(G22="","",ROUND(G22*H22,2))</f>
        <v/>
      </c>
      <c r="L22" s="10">
        <f>IF(G22="","",ROUND(G22*I22,2))</f>
        <v/>
      </c>
      <c r="M22" s="10">
        <f>IF(G22="","",K22+L22+N(J22))</f>
        <v/>
      </c>
    </row>
    <row r="24">
      <c r="A24" t="inlineStr">
        <is>
          <t>Old gold taken:</t>
        </is>
      </c>
      <c r="B24" s="11" t="n"/>
      <c r="L24" s="12" t="inlineStr">
        <is>
          <t>Total</t>
        </is>
      </c>
      <c r="M24" s="10">
        <f>SUM(M13:M22)</f>
        <v/>
      </c>
    </row>
    <row r="25">
      <c r="L25" s="12" t="inlineStr">
        <is>
          <t>Less: discount</t>
        </is>
      </c>
      <c r="M25" s="9" t="n">
        <v>0</v>
      </c>
    </row>
    <row r="26">
      <c r="A26" t="inlineStr">
        <is>
          <t>Amount in words:</t>
        </is>
      </c>
      <c r="B26" s="11" t="n"/>
      <c r="L26" s="12" t="inlineStr">
        <is>
          <t>Taxable value</t>
        </is>
      </c>
      <c r="M26" s="10">
        <f>M24-M25</f>
        <v/>
      </c>
    </row>
    <row r="27">
      <c r="L27" s="12" t="inlineStr">
        <is>
          <t>CGST 1.5%</t>
        </is>
      </c>
      <c r="M27" s="10">
        <f>IF(UPPER(I10)="Y",0,ROUND(M26*1.5%,2))</f>
        <v/>
      </c>
    </row>
    <row r="28">
      <c r="L28" s="12" t="inlineStr">
        <is>
          <t>SGST 1.5%</t>
        </is>
      </c>
      <c r="M28" s="10">
        <f>IF(UPPER(I10)="Y",0,ROUND(M26*3%,2)-M27)</f>
        <v/>
      </c>
    </row>
    <row r="29">
      <c r="L29" s="12" t="inlineStr">
        <is>
          <t>IGST 3%</t>
        </is>
      </c>
      <c r="M29" s="10">
        <f>IF(UPPER(I10)="Y",ROUND(M26*3%,2),0)</f>
        <v/>
      </c>
    </row>
    <row r="30">
      <c r="L30" s="4" t="inlineStr">
        <is>
          <t>Invoice total</t>
        </is>
      </c>
      <c r="M30" s="13">
        <f>M26+M27+M28+M29</f>
        <v/>
      </c>
    </row>
    <row r="31">
      <c r="L31" s="12" t="inlineStr">
        <is>
          <t>Less: old gold</t>
        </is>
      </c>
      <c r="M31" s="9" t="n">
        <v>0</v>
      </c>
    </row>
    <row r="32">
      <c r="L32" s="12" t="inlineStr">
        <is>
          <t>Less: advance</t>
        </is>
      </c>
      <c r="M32" s="9" t="n">
        <v>0</v>
      </c>
    </row>
    <row r="33">
      <c r="L33" s="12" t="inlineStr">
        <is>
          <t>Round off</t>
        </is>
      </c>
      <c r="M33" s="10">
        <f>ROUND(M30-M31-M32,0)-(M30-M31-M32)</f>
        <v/>
      </c>
    </row>
    <row r="34">
      <c r="L34" s="4" t="inlineStr">
        <is>
          <t>Balance payable (₹)</t>
        </is>
      </c>
      <c r="M34" s="14">
        <f>ROUND(M30-M31-M32,0)</f>
        <v/>
      </c>
    </row>
    <row r="36" ht="26" customHeight="1">
      <c r="A36" s="15" t="inlineStr">
        <is>
          <t>Certified that the particulars given above are true and correct. Check the HUID of hallmarked jewellery in the BIS CARE app.</t>
        </is>
      </c>
    </row>
    <row r="39">
      <c r="A39" t="inlineStr">
        <is>
          <t>______________________</t>
        </is>
      </c>
      <c r="K39" t="inlineStr">
        <is>
          <t>______________________</t>
        </is>
      </c>
    </row>
    <row r="40">
      <c r="A40" t="inlineStr">
        <is>
          <t>Customer's signature</t>
        </is>
      </c>
      <c r="K40" t="inlineStr">
        <is>
          <t>Authorised signatory</t>
        </is>
      </c>
    </row>
    <row r="42" ht="26" customHeight="1">
      <c r="A42" s="15" t="inlineStr">
        <is>
          <t>Free format from www.infovion.in/jewellery-bill-formats. Yellow cells: type here. White cells calculate. Confirm tax rates with your accountant.</t>
        </is>
      </c>
    </row>
  </sheetData>
  <mergeCells count="6">
    <mergeCell ref="A36:M36"/>
    <mergeCell ref="A1:M1"/>
    <mergeCell ref="A5:M5"/>
    <mergeCell ref="A3:M3"/>
    <mergeCell ref="A2:M2"/>
    <mergeCell ref="A42:M42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Jewellery bill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