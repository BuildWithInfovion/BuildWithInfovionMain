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 (UA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/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4" fontId="0" fillId="2" borderId="1" pivotButton="0" quotePrefix="0" xfId="0"/>
    <xf numFmtId="4" fontId="0" fillId="0" borderId="1" pivotButton="0" quotePrefix="0" xfId="0"/>
    <xf numFmtId="0" fontId="0" fillId="2" borderId="0" pivotButton="0" quotePrefix="0" xfId="0"/>
    <xf numFmtId="0" fontId="4" fillId="0" borderId="0" pivotButton="0" quotePrefix="0" xfId="0"/>
    <xf numFmtId="4" fontId="3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0" customWidth="1" min="4" max="4"/>
    <col width="11" customWidth="1" min="5" max="5"/>
    <col width="11" customWidth="1" min="6" max="6"/>
    <col width="12" customWidth="1" min="7" max="7"/>
    <col width="7" customWidth="1" min="8" max="8"/>
    <col width="15" customWidth="1" min="9" max="9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TRN: </t>
        </is>
      </c>
    </row>
    <row r="5">
      <c r="A5" s="3" t="inlineStr">
        <is>
          <t>TAX INVOICE  ·  فاتورة ضريبية</t>
        </is>
      </c>
    </row>
    <row r="7">
      <c r="A7" s="4" t="inlineStr">
        <is>
          <t>Customer</t>
        </is>
      </c>
      <c r="B7" s="5" t="n"/>
      <c r="G7" s="4" t="inlineStr">
        <is>
          <t>Invoice no.</t>
        </is>
      </c>
      <c r="H7" s="5" t="n"/>
    </row>
    <row r="8">
      <c r="A8" s="4" t="inlineStr">
        <is>
          <t>Address</t>
        </is>
      </c>
      <c r="B8" s="5" t="n"/>
      <c r="G8" s="4" t="inlineStr">
        <is>
          <t>Invoice date</t>
        </is>
      </c>
      <c r="H8" s="5" t="n"/>
    </row>
    <row r="9">
      <c r="A9" s="4" t="inlineStr">
        <is>
          <t>Mobile</t>
        </is>
      </c>
      <c r="B9" s="5" t="n"/>
      <c r="G9" s="4" t="inlineStr">
        <is>
          <t>Date of supply</t>
        </is>
      </c>
      <c r="H9" s="5" t="n"/>
    </row>
    <row r="10">
      <c r="A10" s="4" t="inlineStr">
        <is>
          <t>Customer TRN</t>
        </is>
      </c>
      <c r="B10" s="5" t="n"/>
      <c r="G10" s="4" t="inlineStr">
        <is>
          <t>Reverse charge (Y/N)</t>
        </is>
      </c>
      <c r="H10" s="5" t="inlineStr">
        <is>
          <t>N</t>
        </is>
      </c>
    </row>
    <row r="12" ht="30" customHeight="1">
      <c r="A12" s="6" t="inlineStr">
        <is>
          <t>Sr.</t>
        </is>
      </c>
      <c r="B12" s="6" t="inlineStr">
        <is>
          <t>Description</t>
        </is>
      </c>
      <c r="C12" s="6" t="inlineStr">
        <is>
          <t>Karat</t>
        </is>
      </c>
      <c r="D12" s="6" t="inlineStr">
        <is>
          <t>Net wt (g)</t>
        </is>
      </c>
      <c r="E12" s="6" t="inlineStr">
        <is>
          <t>Rate / g (AED)</t>
        </is>
      </c>
      <c r="F12" s="6" t="inlineStr">
        <is>
          <t>Making / g (AED)</t>
        </is>
      </c>
      <c r="G12" s="6" t="inlineStr">
        <is>
          <t>Stones / other (AED)</t>
        </is>
      </c>
      <c r="H12" s="6" t="inlineStr">
        <is>
          <t>VAT %</t>
        </is>
      </c>
      <c r="I12" s="6" t="inlineStr">
        <is>
          <t>Amount excl. VAT (AED)</t>
        </is>
      </c>
    </row>
    <row r="13">
      <c r="A13" s="7" t="n">
        <v>1</v>
      </c>
      <c r="B13" s="5" t="n"/>
      <c r="C13" s="5" t="n"/>
      <c r="D13" s="8" t="n"/>
      <c r="E13" s="9" t="n"/>
      <c r="F13" s="9" t="n"/>
      <c r="G13" s="9" t="n"/>
      <c r="H13" s="7">
        <f>IF(D13="","",IF(UPPER($H$10)="Y","RC","5%"))</f>
        <v/>
      </c>
      <c r="I13" s="10">
        <f>IF(D13="","",ROUND(D13*E13,2)+ROUND(D13*N(F13),2)+N(G13))</f>
        <v/>
      </c>
    </row>
    <row r="14">
      <c r="A14" s="7" t="n">
        <v>2</v>
      </c>
      <c r="B14" s="5" t="n"/>
      <c r="C14" s="5" t="n"/>
      <c r="D14" s="8" t="n"/>
      <c r="E14" s="9" t="n"/>
      <c r="F14" s="9" t="n"/>
      <c r="G14" s="9" t="n"/>
      <c r="H14" s="7">
        <f>IF(D14="","",IF(UPPER($H$10)="Y","RC","5%"))</f>
        <v/>
      </c>
      <c r="I14" s="10">
        <f>IF(D14="","",ROUND(D14*E14,2)+ROUND(D14*N(F14),2)+N(G14))</f>
        <v/>
      </c>
    </row>
    <row r="15">
      <c r="A15" s="7" t="n">
        <v>3</v>
      </c>
      <c r="B15" s="5" t="n"/>
      <c r="C15" s="5" t="n"/>
      <c r="D15" s="8" t="n"/>
      <c r="E15" s="9" t="n"/>
      <c r="F15" s="9" t="n"/>
      <c r="G15" s="9" t="n"/>
      <c r="H15" s="7">
        <f>IF(D15="","",IF(UPPER($H$10)="Y","RC","5%"))</f>
        <v/>
      </c>
      <c r="I15" s="10">
        <f>IF(D15="","",ROUND(D15*E15,2)+ROUND(D15*N(F15),2)+N(G15))</f>
        <v/>
      </c>
    </row>
    <row r="16">
      <c r="A16" s="7" t="n">
        <v>4</v>
      </c>
      <c r="B16" s="5" t="n"/>
      <c r="C16" s="5" t="n"/>
      <c r="D16" s="8" t="n"/>
      <c r="E16" s="9" t="n"/>
      <c r="F16" s="9" t="n"/>
      <c r="G16" s="9" t="n"/>
      <c r="H16" s="7">
        <f>IF(D16="","",IF(UPPER($H$10)="Y","RC","5%"))</f>
        <v/>
      </c>
      <c r="I16" s="10">
        <f>IF(D16="","",ROUND(D16*E16,2)+ROUND(D16*N(F16),2)+N(G16))</f>
        <v/>
      </c>
    </row>
    <row r="17">
      <c r="A17" s="7" t="n">
        <v>5</v>
      </c>
      <c r="B17" s="5" t="n"/>
      <c r="C17" s="5" t="n"/>
      <c r="D17" s="8" t="n"/>
      <c r="E17" s="9" t="n"/>
      <c r="F17" s="9" t="n"/>
      <c r="G17" s="9" t="n"/>
      <c r="H17" s="7">
        <f>IF(D17="","",IF(UPPER($H$10)="Y","RC","5%"))</f>
        <v/>
      </c>
      <c r="I17" s="10">
        <f>IF(D17="","",ROUND(D17*E17,2)+ROUND(D17*N(F17),2)+N(G17))</f>
        <v/>
      </c>
    </row>
    <row r="18">
      <c r="A18" s="7" t="n">
        <v>6</v>
      </c>
      <c r="B18" s="5" t="n"/>
      <c r="C18" s="5" t="n"/>
      <c r="D18" s="8" t="n"/>
      <c r="E18" s="9" t="n"/>
      <c r="F18" s="9" t="n"/>
      <c r="G18" s="9" t="n"/>
      <c r="H18" s="7">
        <f>IF(D18="","",IF(UPPER($H$10)="Y","RC","5%"))</f>
        <v/>
      </c>
      <c r="I18" s="10">
        <f>IF(D18="","",ROUND(D18*E18,2)+ROUND(D18*N(F18),2)+N(G18))</f>
        <v/>
      </c>
    </row>
    <row r="19">
      <c r="A19" s="7" t="n">
        <v>7</v>
      </c>
      <c r="B19" s="5" t="n"/>
      <c r="C19" s="5" t="n"/>
      <c r="D19" s="8" t="n"/>
      <c r="E19" s="9" t="n"/>
      <c r="F19" s="9" t="n"/>
      <c r="G19" s="9" t="n"/>
      <c r="H19" s="7">
        <f>IF(D19="","",IF(UPPER($H$10)="Y","RC","5%"))</f>
        <v/>
      </c>
      <c r="I19" s="10">
        <f>IF(D19="","",ROUND(D19*E19,2)+ROUND(D19*N(F19),2)+N(G19))</f>
        <v/>
      </c>
    </row>
    <row r="20">
      <c r="A20" s="7" t="n">
        <v>8</v>
      </c>
      <c r="B20" s="5" t="n"/>
      <c r="C20" s="5" t="n"/>
      <c r="D20" s="8" t="n"/>
      <c r="E20" s="9" t="n"/>
      <c r="F20" s="9" t="n"/>
      <c r="G20" s="9" t="n"/>
      <c r="H20" s="7">
        <f>IF(D20="","",IF(UPPER($H$10)="Y","RC","5%"))</f>
        <v/>
      </c>
      <c r="I20" s="10">
        <f>IF(D20="","",ROUND(D20*E20,2)+ROUND(D20*N(F20),2)+N(G20))</f>
        <v/>
      </c>
    </row>
    <row r="21">
      <c r="A21" s="7" t="n">
        <v>9</v>
      </c>
      <c r="B21" s="5" t="n"/>
      <c r="C21" s="5" t="n"/>
      <c r="D21" s="8" t="n"/>
      <c r="E21" s="9" t="n"/>
      <c r="F21" s="9" t="n"/>
      <c r="G21" s="9" t="n"/>
      <c r="H21" s="7">
        <f>IF(D21="","",IF(UPPER($H$10)="Y","RC","5%"))</f>
        <v/>
      </c>
      <c r="I21" s="10">
        <f>IF(D21="","",ROUND(D21*E21,2)+ROUND(D21*N(F21),2)+N(G21))</f>
        <v/>
      </c>
    </row>
    <row r="22">
      <c r="A22" s="7" t="n">
        <v>10</v>
      </c>
      <c r="B22" s="5" t="n"/>
      <c r="C22" s="5" t="n"/>
      <c r="D22" s="8" t="n"/>
      <c r="E22" s="9" t="n"/>
      <c r="F22" s="9" t="n"/>
      <c r="G22" s="9" t="n"/>
      <c r="H22" s="7">
        <f>IF(D22="","",IF(UPPER($H$10)="Y","RC","5%"))</f>
        <v/>
      </c>
      <c r="I22" s="10">
        <f>IF(D22="","",ROUND(D22*E22,2)+ROUND(D22*N(F22),2)+N(G22))</f>
        <v/>
      </c>
    </row>
    <row r="24">
      <c r="A24" t="inlineStr">
        <is>
          <t>Amount in words:</t>
        </is>
      </c>
      <c r="B24" s="11" t="n"/>
      <c r="H24" s="12" t="inlineStr">
        <is>
          <t>Total excl. VAT</t>
        </is>
      </c>
      <c r="I24" s="10">
        <f>SUM(I13:I22)</f>
        <v/>
      </c>
    </row>
    <row r="25">
      <c r="H25" s="12" t="inlineStr">
        <is>
          <t>Less: discount</t>
        </is>
      </c>
      <c r="I25" s="9" t="n">
        <v>0</v>
      </c>
    </row>
    <row r="26">
      <c r="H26" s="12" t="inlineStr">
        <is>
          <t>Taxable amount</t>
        </is>
      </c>
      <c r="I26" s="10">
        <f>I24-I25</f>
        <v/>
      </c>
    </row>
    <row r="27">
      <c r="H27" s="12" t="inlineStr">
        <is>
          <t>VAT 5%</t>
        </is>
      </c>
      <c r="I27" s="10">
        <f>IF(UPPER(H10)="Y",0,ROUND(I26*5%,2))</f>
        <v/>
      </c>
    </row>
    <row r="28">
      <c r="H28" s="4" t="inlineStr">
        <is>
          <t>Total incl. VAT (AED)</t>
        </is>
      </c>
      <c r="I28" s="13">
        <f>I26+I27</f>
        <v/>
      </c>
    </row>
    <row r="29">
      <c r="H29" s="12" t="inlineStr">
        <is>
          <t>Less: old gold</t>
        </is>
      </c>
      <c r="I29" s="9" t="n">
        <v>0</v>
      </c>
    </row>
    <row r="30">
      <c r="H30" s="4" t="inlineStr">
        <is>
          <t>Balance payable (AED)</t>
        </is>
      </c>
      <c r="I30" s="13">
        <f>I28-I29</f>
        <v/>
      </c>
    </row>
    <row r="32" ht="26" customHeight="1">
      <c r="A32" s="14" t="inlineStr">
        <is>
          <t>Amounts in UAE dirhams. VAT at 5% on the full value of the jewellery: metal, making and stones. If Reverse charge is Y: reverse charge applies, and the recipient is liable to account for the VAT (Cabinet Decision No. 127 of 2024).</t>
        </is>
      </c>
    </row>
    <row r="35">
      <c r="A35" t="inlineStr">
        <is>
          <t>______________________</t>
        </is>
      </c>
      <c r="G35" t="inlineStr">
        <is>
          <t>______________________</t>
        </is>
      </c>
    </row>
    <row r="36">
      <c r="A36" t="inlineStr">
        <is>
          <t>Customer's signature</t>
        </is>
      </c>
      <c r="G36" t="inlineStr">
        <is>
          <t>Authorised signatory</t>
        </is>
      </c>
    </row>
    <row r="38" ht="26" customHeight="1">
      <c r="A38" s="14" t="inlineStr">
        <is>
          <t>Free format from www.infovion.in/jewellery-bill-formats. Yellow cells: type here. White cells calculate. Confirm tax rates with your accountant.</t>
        </is>
      </c>
    </row>
  </sheetData>
  <mergeCells count="6">
    <mergeCell ref="A2:I2"/>
    <mergeCell ref="A5:I5"/>
    <mergeCell ref="A32:I32"/>
    <mergeCell ref="A1:I1"/>
    <mergeCell ref="A3:I3"/>
    <mergeCell ref="A38:I38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Uae jewellery tax invoice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