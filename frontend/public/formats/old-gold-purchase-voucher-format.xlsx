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d gold vouc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  <font/>
    <font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2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0" fillId="2" borderId="0" pivotButton="0" quotePrefix="0" xfId="0"/>
    <xf numFmtId="0" fontId="4" fillId="0" borderId="0" pivotButton="0" quotePrefix="0" xfId="0"/>
    <xf numFmtId="3" fontId="3" fillId="0" borderId="1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1" customWidth="1" min="3" max="3"/>
    <col width="11" customWidth="1" min="4" max="4"/>
    <col width="11" customWidth="1" min="5" max="5"/>
    <col width="9" customWidth="1" min="6" max="6"/>
    <col width="11" customWidth="1" min="7" max="7"/>
    <col width="13" customWidth="1" min="8" max="8"/>
  </cols>
  <sheetData>
    <row r="1">
      <c r="A1" s="1" t="inlineStr">
        <is>
          <t>YOUR SHOP NAME</t>
        </is>
      </c>
    </row>
    <row r="2">
      <c r="A2" s="2" t="inlineStr">
        <is>
          <t>Address · Phone</t>
        </is>
      </c>
    </row>
    <row r="3">
      <c r="A3" s="2" t="inlineStr">
        <is>
          <t xml:space="preserve">GSTIN: </t>
        </is>
      </c>
    </row>
    <row r="5">
      <c r="A5" s="3" t="inlineStr">
        <is>
          <t>OLD GOLD PURCHASE VOUCHER</t>
        </is>
      </c>
    </row>
    <row r="7">
      <c r="A7" s="4" t="inlineStr">
        <is>
          <t>Seller</t>
        </is>
      </c>
      <c r="B7" s="5" t="n"/>
      <c r="F7" s="4" t="inlineStr">
        <is>
          <t>Voucher no.</t>
        </is>
      </c>
      <c r="G7" s="5" t="n"/>
    </row>
    <row r="8">
      <c r="A8" s="4" t="inlineStr">
        <is>
          <t>Address</t>
        </is>
      </c>
      <c r="B8" s="5" t="n"/>
      <c r="F8" s="4" t="inlineStr">
        <is>
          <t>Date</t>
        </is>
      </c>
      <c r="G8" s="5" t="n"/>
    </row>
    <row r="9">
      <c r="A9" s="4" t="inlineStr">
        <is>
          <t>Mobile</t>
        </is>
      </c>
      <c r="B9" s="5" t="n"/>
      <c r="F9" s="4" t="inlineStr">
        <is>
          <t>Payment</t>
        </is>
      </c>
      <c r="G9" s="5" t="n"/>
    </row>
    <row r="10">
      <c r="A10" s="4" t="inlineStr">
        <is>
          <t>ID proof</t>
        </is>
      </c>
      <c r="B10" s="5" t="n"/>
      <c r="F10" s="4" t="inlineStr">
        <is>
          <t>24K rate / g (₹)</t>
        </is>
      </c>
      <c r="G10" s="5" t="n"/>
    </row>
    <row r="11">
      <c r="A11" s="4" t="inlineStr">
        <is>
          <t>PAN</t>
        </is>
      </c>
      <c r="B11" s="5" t="n"/>
      <c r="F11" s="4" t="inlineStr">
        <is>
          <t>Deduction %</t>
        </is>
      </c>
      <c r="G11" s="5" t="n"/>
    </row>
    <row r="13" ht="30" customHeight="1">
      <c r="A13" s="6" t="inlineStr">
        <is>
          <t>Sr.</t>
        </is>
      </c>
      <c r="B13" s="6" t="inlineStr">
        <is>
          <t>Description</t>
        </is>
      </c>
      <c r="C13" s="6" t="inlineStr">
        <is>
          <t>Gross wt (g)</t>
        </is>
      </c>
      <c r="D13" s="6" t="inlineStr">
        <is>
          <t>Less wt (g)</t>
        </is>
      </c>
      <c r="E13" s="6" t="inlineStr">
        <is>
          <t>Net wt (g)</t>
        </is>
      </c>
      <c r="F13" s="6" t="inlineStr">
        <is>
          <t>Touch %</t>
        </is>
      </c>
      <c r="G13" s="6" t="inlineStr">
        <is>
          <t>Fine wt (g)</t>
        </is>
      </c>
      <c r="H13" s="6" t="inlineStr">
        <is>
          <t>Value (₹)</t>
        </is>
      </c>
    </row>
    <row r="14">
      <c r="A14" s="7" t="n">
        <v>1</v>
      </c>
      <c r="B14" s="5" t="n"/>
      <c r="C14" s="8" t="n"/>
      <c r="D14" s="8" t="n"/>
      <c r="E14" s="9">
        <f>IF(C14="","",ROUND(C14-N(D14),3))</f>
        <v/>
      </c>
      <c r="F14" s="5" t="n"/>
      <c r="G14" s="9">
        <f>IF(C14="","",ROUND(E14*F14/100,3))</f>
        <v/>
      </c>
      <c r="H14" s="10">
        <f>IF(C14="","",ROUND(G14*$G$10,2))</f>
        <v/>
      </c>
    </row>
    <row r="15">
      <c r="A15" s="7" t="n">
        <v>2</v>
      </c>
      <c r="B15" s="5" t="n"/>
      <c r="C15" s="8" t="n"/>
      <c r="D15" s="8" t="n"/>
      <c r="E15" s="9">
        <f>IF(C15="","",ROUND(C15-N(D15),3))</f>
        <v/>
      </c>
      <c r="F15" s="5" t="n"/>
      <c r="G15" s="9">
        <f>IF(C15="","",ROUND(E15*F15/100,3))</f>
        <v/>
      </c>
      <c r="H15" s="10">
        <f>IF(C15="","",ROUND(G15*$G$10,2))</f>
        <v/>
      </c>
    </row>
    <row r="16">
      <c r="A16" s="7" t="n">
        <v>3</v>
      </c>
      <c r="B16" s="5" t="n"/>
      <c r="C16" s="8" t="n"/>
      <c r="D16" s="8" t="n"/>
      <c r="E16" s="9">
        <f>IF(C16="","",ROUND(C16-N(D16),3))</f>
        <v/>
      </c>
      <c r="F16" s="5" t="n"/>
      <c r="G16" s="9">
        <f>IF(C16="","",ROUND(E16*F16/100,3))</f>
        <v/>
      </c>
      <c r="H16" s="10">
        <f>IF(C16="","",ROUND(G16*$G$10,2))</f>
        <v/>
      </c>
    </row>
    <row r="17">
      <c r="A17" s="7" t="n">
        <v>4</v>
      </c>
      <c r="B17" s="5" t="n"/>
      <c r="C17" s="8" t="n"/>
      <c r="D17" s="8" t="n"/>
      <c r="E17" s="9">
        <f>IF(C17="","",ROUND(C17-N(D17),3))</f>
        <v/>
      </c>
      <c r="F17" s="5" t="n"/>
      <c r="G17" s="9">
        <f>IF(C17="","",ROUND(E17*F17/100,3))</f>
        <v/>
      </c>
      <c r="H17" s="10">
        <f>IF(C17="","",ROUND(G17*$G$10,2))</f>
        <v/>
      </c>
    </row>
    <row r="18">
      <c r="A18" s="7" t="n">
        <v>5</v>
      </c>
      <c r="B18" s="5" t="n"/>
      <c r="C18" s="8" t="n"/>
      <c r="D18" s="8" t="n"/>
      <c r="E18" s="9">
        <f>IF(C18="","",ROUND(C18-N(D18),3))</f>
        <v/>
      </c>
      <c r="F18" s="5" t="n"/>
      <c r="G18" s="9">
        <f>IF(C18="","",ROUND(E18*F18/100,3))</f>
        <v/>
      </c>
      <c r="H18" s="10">
        <f>IF(C18="","",ROUND(G18*$G$10,2))</f>
        <v/>
      </c>
    </row>
    <row r="19">
      <c r="A19" s="7" t="n">
        <v>6</v>
      </c>
      <c r="B19" s="5" t="n"/>
      <c r="C19" s="8" t="n"/>
      <c r="D19" s="8" t="n"/>
      <c r="E19" s="9">
        <f>IF(C19="","",ROUND(C19-N(D19),3))</f>
        <v/>
      </c>
      <c r="F19" s="5" t="n"/>
      <c r="G19" s="9">
        <f>IF(C19="","",ROUND(E19*F19/100,3))</f>
        <v/>
      </c>
      <c r="H19" s="10">
        <f>IF(C19="","",ROUND(G19*$G$10,2))</f>
        <v/>
      </c>
    </row>
    <row r="20">
      <c r="A20" s="7" t="n">
        <v>7</v>
      </c>
      <c r="B20" s="5" t="n"/>
      <c r="C20" s="8" t="n"/>
      <c r="D20" s="8" t="n"/>
      <c r="E20" s="9">
        <f>IF(C20="","",ROUND(C20-N(D20),3))</f>
        <v/>
      </c>
      <c r="F20" s="5" t="n"/>
      <c r="G20" s="9">
        <f>IF(C20="","",ROUND(E20*F20/100,3))</f>
        <v/>
      </c>
      <c r="H20" s="10">
        <f>IF(C20="","",ROUND(G20*$G$10,2))</f>
        <v/>
      </c>
    </row>
    <row r="21">
      <c r="A21" s="7" t="n">
        <v>8</v>
      </c>
      <c r="B21" s="5" t="n"/>
      <c r="C21" s="8" t="n"/>
      <c r="D21" s="8" t="n"/>
      <c r="E21" s="9">
        <f>IF(C21="","",ROUND(C21-N(D21),3))</f>
        <v/>
      </c>
      <c r="F21" s="5" t="n"/>
      <c r="G21" s="9">
        <f>IF(C21="","",ROUND(E21*F21/100,3))</f>
        <v/>
      </c>
      <c r="H21" s="10">
        <f>IF(C21="","",ROUND(G21*$G$10,2))</f>
        <v/>
      </c>
    </row>
    <row r="22">
      <c r="A22" s="7" t="n">
        <v>9</v>
      </c>
      <c r="B22" s="5" t="n"/>
      <c r="C22" s="8" t="n"/>
      <c r="D22" s="8" t="n"/>
      <c r="E22" s="9">
        <f>IF(C22="","",ROUND(C22-N(D22),3))</f>
        <v/>
      </c>
      <c r="F22" s="5" t="n"/>
      <c r="G22" s="9">
        <f>IF(C22="","",ROUND(E22*F22/100,3))</f>
        <v/>
      </c>
      <c r="H22" s="10">
        <f>IF(C22="","",ROUND(G22*$G$10,2))</f>
        <v/>
      </c>
    </row>
    <row r="23">
      <c r="A23" s="7" t="n">
        <v>10</v>
      </c>
      <c r="B23" s="5" t="n"/>
      <c r="C23" s="8" t="n"/>
      <c r="D23" s="8" t="n"/>
      <c r="E23" s="9">
        <f>IF(C23="","",ROUND(C23-N(D23),3))</f>
        <v/>
      </c>
      <c r="F23" s="5" t="n"/>
      <c r="G23" s="9">
        <f>IF(C23="","",ROUND(E23*F23/100,3))</f>
        <v/>
      </c>
      <c r="H23" s="10">
        <f>IF(C23="","",ROUND(G23*$G$10,2))</f>
        <v/>
      </c>
    </row>
    <row r="25">
      <c r="A25" t="inlineStr">
        <is>
          <t>Amount in words:</t>
        </is>
      </c>
      <c r="B25" s="11" t="n"/>
      <c r="G25" s="12" t="inlineStr">
        <is>
          <t>Fine wt (g)</t>
        </is>
      </c>
      <c r="H25" s="9">
        <f>SUM(G14:G23)</f>
        <v/>
      </c>
    </row>
    <row r="26">
      <c r="G26" s="12" t="inlineStr">
        <is>
          <t>Value (₹)</t>
        </is>
      </c>
      <c r="H26" s="10">
        <f>SUM(H14:H23)</f>
        <v/>
      </c>
    </row>
    <row r="27">
      <c r="G27" s="12" t="inlineStr">
        <is>
          <t>Less: deduction</t>
        </is>
      </c>
      <c r="H27" s="10">
        <f>ROUND(H26*N(G11)/100,2)</f>
        <v/>
      </c>
    </row>
    <row r="28">
      <c r="G28" s="12" t="inlineStr">
        <is>
          <t>Round off</t>
        </is>
      </c>
      <c r="H28" s="10">
        <f>ROUND(H26-H27,0)-(H26-H27)</f>
        <v/>
      </c>
    </row>
    <row r="29">
      <c r="G29" s="4" t="inlineStr">
        <is>
          <t>Amount paid (₹)</t>
        </is>
      </c>
      <c r="H29" s="13">
        <f>ROUND(H26-H27,0)</f>
        <v/>
      </c>
    </row>
    <row r="31" ht="26" customHeight="1">
      <c r="A31" s="14" t="inlineStr">
        <is>
          <t>I declare that I am the lawful owner of the gold sold above, that it is not stolen or pledged anywhere, and that I have received the amount above in full.</t>
        </is>
      </c>
    </row>
    <row r="34">
      <c r="A34" t="inlineStr">
        <is>
          <t>______________________</t>
        </is>
      </c>
      <c r="F34" t="inlineStr">
        <is>
          <t>______________________</t>
        </is>
      </c>
    </row>
    <row r="35">
      <c r="A35" t="inlineStr">
        <is>
          <t>Seller's signature</t>
        </is>
      </c>
      <c r="F35" t="inlineStr">
        <is>
          <t>Authorised signatory</t>
        </is>
      </c>
    </row>
    <row r="37" ht="26" customHeight="1">
      <c r="A37" s="15" t="inlineStr">
        <is>
          <t>Free format from www.infovion.in/jewellery-bill-formats. Yellow cells: type here. White cells calculate. Confirm tax rates with your accountant.</t>
        </is>
      </c>
    </row>
  </sheetData>
  <mergeCells count="6">
    <mergeCell ref="A1:H1"/>
    <mergeCell ref="A3:H3"/>
    <mergeCell ref="A2:H2"/>
    <mergeCell ref="A5:H5"/>
    <mergeCell ref="A37:H37"/>
    <mergeCell ref="A31:H31"/>
  </mergeCells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Infovion Technologies</dc:creator>
  <dc:title xmlns:dc="http://purl.org/dc/elements/1.1/">Old gold purchase voucher format</dc:title>
  <dcterms:created xmlns:dcterms="http://purl.org/dc/terms/" xmlns:xsi="http://www.w3.org/2001/XMLSchema-instance" xsi:type="dcterms:W3CDTF">2026-10-27T15:57:44Z</dcterms:created>
  <dcterms:modified xmlns:dcterms="http://purl.org/dc/terms/" xmlns:xsi="http://www.w3.org/2001/XMLSchema-instance" xsi:type="dcterms:W3CDTF">2026-10-27T15:57:44Z</dcterms:modified>
</cp:coreProperties>
</file>