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/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2" borderId="1" pivotButton="0" quotePrefix="0" xfId="0"/>
    <xf numFmtId="4" fontId="0" fillId="2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3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9" customWidth="1" min="3" max="3"/>
    <col width="8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13" customWidth="1" min="12" max="12"/>
  </cols>
  <sheetData>
    <row r="1">
      <c r="A1" s="1" t="inlineStr">
        <is>
          <t>YOUR SHOP NAME</t>
        </is>
      </c>
    </row>
    <row r="2">
      <c r="A2" s="2" t="inlineStr">
        <is>
          <t>Address · Phone</t>
        </is>
      </c>
    </row>
    <row r="3">
      <c r="A3" s="2" t="inlineStr">
        <is>
          <t xml:space="preserve">GSTIN: </t>
        </is>
      </c>
    </row>
    <row r="5">
      <c r="A5" s="3" t="inlineStr">
        <is>
          <t>ESTIMATE</t>
        </is>
      </c>
    </row>
    <row r="7">
      <c r="A7" s="4" t="inlineStr">
        <is>
          <t>Customer</t>
        </is>
      </c>
      <c r="B7" s="5" t="n"/>
      <c r="H7" s="4" t="inlineStr">
        <is>
          <t>Estimate no.</t>
        </is>
      </c>
      <c r="I7" s="5" t="n"/>
    </row>
    <row r="8">
      <c r="A8" s="4" t="inlineStr">
        <is>
          <t>Mobile</t>
        </is>
      </c>
      <c r="B8" s="5" t="n"/>
      <c r="H8" s="4" t="inlineStr">
        <is>
          <t>Date</t>
        </is>
      </c>
      <c r="I8" s="5" t="n"/>
    </row>
    <row r="9">
      <c r="A9" s="4" t="inlineStr">
        <is>
          <t>Address</t>
        </is>
      </c>
      <c r="B9" s="5" t="n"/>
      <c r="H9" s="4" t="inlineStr">
        <is>
          <t>Include GST (Y/N)</t>
        </is>
      </c>
      <c r="I9" s="5" t="inlineStr">
        <is>
          <t>Y</t>
        </is>
      </c>
    </row>
    <row r="11" ht="30" customHeight="1">
      <c r="A11" s="6" t="inlineStr">
        <is>
          <t>Sr.</t>
        </is>
      </c>
      <c r="B11" s="6" t="inlineStr">
        <is>
          <t>Description</t>
        </is>
      </c>
      <c r="C11" s="6" t="inlineStr">
        <is>
          <t>HUID</t>
        </is>
      </c>
      <c r="D11" s="6" t="inlineStr">
        <is>
          <t>Purity</t>
        </is>
      </c>
      <c r="E11" s="6" t="inlineStr">
        <is>
          <t>Gross wt (g)</t>
        </is>
      </c>
      <c r="F11" s="6" t="inlineStr">
        <is>
          <t>Net wt (g)</t>
        </is>
      </c>
      <c r="G11" s="6" t="inlineStr">
        <is>
          <t>Rate / g (₹)</t>
        </is>
      </c>
      <c r="H11" s="6" t="inlineStr">
        <is>
          <t>Making / g (₹)</t>
        </is>
      </c>
      <c r="I11" s="6" t="inlineStr">
        <is>
          <t>Stone / other (₹)</t>
        </is>
      </c>
      <c r="J11" s="6" t="inlineStr">
        <is>
          <t>Metal value</t>
        </is>
      </c>
      <c r="K11" s="6" t="inlineStr">
        <is>
          <t>Making</t>
        </is>
      </c>
      <c r="L11" s="6" t="inlineStr">
        <is>
          <t>Amount (₹)</t>
        </is>
      </c>
    </row>
    <row r="12">
      <c r="A12" s="7" t="n">
        <v>1</v>
      </c>
      <c r="B12" s="5" t="n"/>
      <c r="C12" s="5" t="n"/>
      <c r="D12" s="5" t="n"/>
      <c r="E12" s="8" t="n"/>
      <c r="F12" s="8" t="n"/>
      <c r="G12" s="9" t="n"/>
      <c r="H12" s="9" t="n"/>
      <c r="I12" s="9" t="n"/>
      <c r="J12" s="10">
        <f>IF(F12="","",ROUND(F12*G12,2))</f>
        <v/>
      </c>
      <c r="K12" s="10">
        <f>IF(F12="","",ROUND(F12*H12,2))</f>
        <v/>
      </c>
      <c r="L12" s="10">
        <f>IF(F12="","",J12+K12+N(I12))</f>
        <v/>
      </c>
    </row>
    <row r="13">
      <c r="A13" s="7" t="n">
        <v>2</v>
      </c>
      <c r="B13" s="5" t="n"/>
      <c r="C13" s="5" t="n"/>
      <c r="D13" s="5" t="n"/>
      <c r="E13" s="8" t="n"/>
      <c r="F13" s="8" t="n"/>
      <c r="G13" s="9" t="n"/>
      <c r="H13" s="9" t="n"/>
      <c r="I13" s="9" t="n"/>
      <c r="J13" s="10">
        <f>IF(F13="","",ROUND(F13*G13,2))</f>
        <v/>
      </c>
      <c r="K13" s="10">
        <f>IF(F13="","",ROUND(F13*H13,2))</f>
        <v/>
      </c>
      <c r="L13" s="10">
        <f>IF(F13="","",J13+K13+N(I13))</f>
        <v/>
      </c>
    </row>
    <row r="14">
      <c r="A14" s="7" t="n">
        <v>3</v>
      </c>
      <c r="B14" s="5" t="n"/>
      <c r="C14" s="5" t="n"/>
      <c r="D14" s="5" t="n"/>
      <c r="E14" s="8" t="n"/>
      <c r="F14" s="8" t="n"/>
      <c r="G14" s="9" t="n"/>
      <c r="H14" s="9" t="n"/>
      <c r="I14" s="9" t="n"/>
      <c r="J14" s="10">
        <f>IF(F14="","",ROUND(F14*G14,2))</f>
        <v/>
      </c>
      <c r="K14" s="10">
        <f>IF(F14="","",ROUND(F14*H14,2))</f>
        <v/>
      </c>
      <c r="L14" s="10">
        <f>IF(F14="","",J14+K14+N(I14))</f>
        <v/>
      </c>
    </row>
    <row r="15">
      <c r="A15" s="7" t="n">
        <v>4</v>
      </c>
      <c r="B15" s="5" t="n"/>
      <c r="C15" s="5" t="n"/>
      <c r="D15" s="5" t="n"/>
      <c r="E15" s="8" t="n"/>
      <c r="F15" s="8" t="n"/>
      <c r="G15" s="9" t="n"/>
      <c r="H15" s="9" t="n"/>
      <c r="I15" s="9" t="n"/>
      <c r="J15" s="10">
        <f>IF(F15="","",ROUND(F15*G15,2))</f>
        <v/>
      </c>
      <c r="K15" s="10">
        <f>IF(F15="","",ROUND(F15*H15,2))</f>
        <v/>
      </c>
      <c r="L15" s="10">
        <f>IF(F15="","",J15+K15+N(I15))</f>
        <v/>
      </c>
    </row>
    <row r="16">
      <c r="A16" s="7" t="n">
        <v>5</v>
      </c>
      <c r="B16" s="5" t="n"/>
      <c r="C16" s="5" t="n"/>
      <c r="D16" s="5" t="n"/>
      <c r="E16" s="8" t="n"/>
      <c r="F16" s="8" t="n"/>
      <c r="G16" s="9" t="n"/>
      <c r="H16" s="9" t="n"/>
      <c r="I16" s="9" t="n"/>
      <c r="J16" s="10">
        <f>IF(F16="","",ROUND(F16*G16,2))</f>
        <v/>
      </c>
      <c r="K16" s="10">
        <f>IF(F16="","",ROUND(F16*H16,2))</f>
        <v/>
      </c>
      <c r="L16" s="10">
        <f>IF(F16="","",J16+K16+N(I16))</f>
        <v/>
      </c>
    </row>
    <row r="17">
      <c r="A17" s="7" t="n">
        <v>6</v>
      </c>
      <c r="B17" s="5" t="n"/>
      <c r="C17" s="5" t="n"/>
      <c r="D17" s="5" t="n"/>
      <c r="E17" s="8" t="n"/>
      <c r="F17" s="8" t="n"/>
      <c r="G17" s="9" t="n"/>
      <c r="H17" s="9" t="n"/>
      <c r="I17" s="9" t="n"/>
      <c r="J17" s="10">
        <f>IF(F17="","",ROUND(F17*G17,2))</f>
        <v/>
      </c>
      <c r="K17" s="10">
        <f>IF(F17="","",ROUND(F17*H17,2))</f>
        <v/>
      </c>
      <c r="L17" s="10">
        <f>IF(F17="","",J17+K17+N(I17))</f>
        <v/>
      </c>
    </row>
    <row r="18">
      <c r="A18" s="7" t="n">
        <v>7</v>
      </c>
      <c r="B18" s="5" t="n"/>
      <c r="C18" s="5" t="n"/>
      <c r="D18" s="5" t="n"/>
      <c r="E18" s="8" t="n"/>
      <c r="F18" s="8" t="n"/>
      <c r="G18" s="9" t="n"/>
      <c r="H18" s="9" t="n"/>
      <c r="I18" s="9" t="n"/>
      <c r="J18" s="10">
        <f>IF(F18="","",ROUND(F18*G18,2))</f>
        <v/>
      </c>
      <c r="K18" s="10">
        <f>IF(F18="","",ROUND(F18*H18,2))</f>
        <v/>
      </c>
      <c r="L18" s="10">
        <f>IF(F18="","",J18+K18+N(I18))</f>
        <v/>
      </c>
    </row>
    <row r="19">
      <c r="A19" s="7" t="n">
        <v>8</v>
      </c>
      <c r="B19" s="5" t="n"/>
      <c r="C19" s="5" t="n"/>
      <c r="D19" s="5" t="n"/>
      <c r="E19" s="8" t="n"/>
      <c r="F19" s="8" t="n"/>
      <c r="G19" s="9" t="n"/>
      <c r="H19" s="9" t="n"/>
      <c r="I19" s="9" t="n"/>
      <c r="J19" s="10">
        <f>IF(F19="","",ROUND(F19*G19,2))</f>
        <v/>
      </c>
      <c r="K19" s="10">
        <f>IF(F19="","",ROUND(F19*H19,2))</f>
        <v/>
      </c>
      <c r="L19" s="10">
        <f>IF(F19="","",J19+K19+N(I19))</f>
        <v/>
      </c>
    </row>
    <row r="20">
      <c r="A20" s="7" t="n">
        <v>9</v>
      </c>
      <c r="B20" s="5" t="n"/>
      <c r="C20" s="5" t="n"/>
      <c r="D20" s="5" t="n"/>
      <c r="E20" s="8" t="n"/>
      <c r="F20" s="8" t="n"/>
      <c r="G20" s="9" t="n"/>
      <c r="H20" s="9" t="n"/>
      <c r="I20" s="9" t="n"/>
      <c r="J20" s="10">
        <f>IF(F20="","",ROUND(F20*G20,2))</f>
        <v/>
      </c>
      <c r="K20" s="10">
        <f>IF(F20="","",ROUND(F20*H20,2))</f>
        <v/>
      </c>
      <c r="L20" s="10">
        <f>IF(F20="","",J20+K20+N(I20))</f>
        <v/>
      </c>
    </row>
    <row r="21">
      <c r="A21" s="7" t="n">
        <v>10</v>
      </c>
      <c r="B21" s="5" t="n"/>
      <c r="C21" s="5" t="n"/>
      <c r="D21" s="5" t="n"/>
      <c r="E21" s="8" t="n"/>
      <c r="F21" s="8" t="n"/>
      <c r="G21" s="9" t="n"/>
      <c r="H21" s="9" t="n"/>
      <c r="I21" s="9" t="n"/>
      <c r="J21" s="10">
        <f>IF(F21="","",ROUND(F21*G21,2))</f>
        <v/>
      </c>
      <c r="K21" s="10">
        <f>IF(F21="","",ROUND(F21*H21,2))</f>
        <v/>
      </c>
      <c r="L21" s="10">
        <f>IF(F21="","",J21+K21+N(I21))</f>
        <v/>
      </c>
    </row>
    <row r="23">
      <c r="K23" s="11" t="inlineStr">
        <is>
          <t>Total</t>
        </is>
      </c>
      <c r="L23" s="10">
        <f>SUM(L12:L21)</f>
        <v/>
      </c>
    </row>
    <row r="24">
      <c r="K24" s="11" t="inlineStr">
        <is>
          <t>Less: discount</t>
        </is>
      </c>
      <c r="L24" s="9" t="n">
        <v>0</v>
      </c>
    </row>
    <row r="25">
      <c r="K25" s="11" t="inlineStr">
        <is>
          <t>Taxable value</t>
        </is>
      </c>
      <c r="L25" s="10">
        <f>L23-L24</f>
        <v/>
      </c>
    </row>
    <row r="26">
      <c r="K26" s="11" t="inlineStr">
        <is>
          <t>Estimated GST 3%</t>
        </is>
      </c>
      <c r="L26" s="10">
        <f>IF(UPPER(I9)="Y",ROUND(L25*3%,2),0)</f>
        <v/>
      </c>
    </row>
    <row r="27">
      <c r="K27" s="4" t="inlineStr">
        <is>
          <t>Estimated total</t>
        </is>
      </c>
      <c r="L27" s="12">
        <f>L25+L26</f>
        <v/>
      </c>
    </row>
    <row r="29" ht="26" customHeight="1">
      <c r="A29" s="13" t="inlineStr">
        <is>
          <t>This is an estimate, not a tax invoice. The final bill is made at the rate on the day of purchase.</t>
        </is>
      </c>
    </row>
    <row r="32">
      <c r="A32" t="inlineStr">
        <is>
          <t>______________________</t>
        </is>
      </c>
      <c r="J32" t="inlineStr">
        <is>
          <t>______________________</t>
        </is>
      </c>
    </row>
    <row r="33">
      <c r="A33" t="inlineStr">
        <is>
          <t>Customer's signature</t>
        </is>
      </c>
      <c r="J33" t="inlineStr">
        <is>
          <t>Authorised signatory</t>
        </is>
      </c>
    </row>
    <row r="35" ht="26" customHeight="1">
      <c r="A35" s="13" t="inlineStr">
        <is>
          <t>Free format from www.infovion.in/jewellery-bill-formats. Yellow cells: type here. White cells calculate. Confirm tax rates with your accountant.</t>
        </is>
      </c>
    </row>
  </sheetData>
  <mergeCells count="6">
    <mergeCell ref="A2:L2"/>
    <mergeCell ref="A29:L29"/>
    <mergeCell ref="A1:L1"/>
    <mergeCell ref="A5:L5"/>
    <mergeCell ref="A3:L3"/>
    <mergeCell ref="A35:L35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Infovion Technologies</dc:creator>
  <dc:title xmlns:dc="http://purl.org/dc/elements/1.1/">Jewellery estimate format</dc:title>
  <dcterms:created xmlns:dcterms="http://purl.org/dc/terms/" xmlns:xsi="http://www.w3.org/2001/XMLSchema-instance" xsi:type="dcterms:W3CDTF">2026-10-27T15:57:44Z</dcterms:created>
  <dcterms:modified xmlns:dcterms="http://purl.org/dc/terms/" xmlns:xsi="http://www.w3.org/2001/XMLSchema-instance" xsi:type="dcterms:W3CDTF">2026-10-27T15:57:44Z</dcterms:modified>
</cp:coreProperties>
</file>